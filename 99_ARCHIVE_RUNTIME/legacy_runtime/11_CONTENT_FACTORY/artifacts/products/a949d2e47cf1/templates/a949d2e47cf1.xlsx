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任务明细" sheetId="2" state="visible" r:id="rId2"/>
    <sheet xmlns:r="http://schemas.openxmlformats.org/officeDocument/2006/relationships" name="项目摘要" sheetId="3" state="visible" r:id="rId3"/>
    <sheet xmlns:r="http://schemas.openxmlformats.org/officeDocument/2006/relationships" name="甘特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/D"/>
  </numFmts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  <font>
      <color rgb="001F4E79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0" fillId="4" borderId="1" pivotButton="0" quotePrefix="0" xfId="0"/>
    <xf numFmtId="165" fontId="0" fillId="4" borderId="1" pivotButton="0" quotePrefix="0" xfId="0"/>
    <xf numFmtId="9" fontId="0" fillId="4" borderId="1" pivotButton="0" quotePrefix="0" xfId="0"/>
    <xf numFmtId="0" fontId="0" fillId="0" borderId="1" pivotButton="0" quotePrefix="0" xfId="0"/>
    <xf numFmtId="0" fontId="0" fillId="4" borderId="0" pivotButton="0" quotePrefix="0" xfId="0"/>
    <xf numFmtId="9" fontId="0" fillId="0" borderId="0" pivotButton="0" quotePrefix="0" xfId="0"/>
    <xf numFmtId="165" fontId="0" fillId="0" borderId="0" pivotButton="0" quotePrefix="0" xfId="0"/>
    <xf numFmtId="0" fontId="2" fillId="3" borderId="1" pivotButton="0" quotePrefix="0" xfId="0"/>
    <xf numFmtId="166" fontId="2" fillId="3" borderId="1" applyAlignment="1" pivotButton="0" quotePrefix="0" xfId="0">
      <alignment horizontal="center" textRotation="90"/>
    </xf>
    <xf numFmtId="165" fontId="0" fillId="0" borderId="1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1" t="inlineStr">
        <is>
          <t>小微团队项目计划 + 任务进度 + 甘特图 Excel 模板</t>
        </is>
      </c>
    </row>
    <row r="2">
      <c r="A2" s="2" t="inlineStr">
        <is>
          <t>【填写区说明】黄色单元格 = 请用户填写；灰色/蓝色 = 自动计算或展示</t>
        </is>
      </c>
    </row>
    <row r="3">
      <c r="A3" s="2" t="inlineStr">
        <is>
          <t>1. 打开「任务明细」工作表，从第2行开始填写任务。</t>
        </is>
      </c>
    </row>
    <row r="4">
      <c r="A4" s="2" t="inlineStr">
        <is>
          <t>2. 必填：任务名称、负责人、开始日期、截止日期、状态、完成进度(0-1)。</t>
        </is>
      </c>
    </row>
    <row r="5">
      <c r="A5" s="2" t="inlineStr">
        <is>
          <t>3. 「项目摘要」会自动统计任务数、完成数、平均进度。</t>
        </is>
      </c>
    </row>
    <row r="6">
      <c r="A6" s="2" t="inlineStr">
        <is>
          <t>4. 「甘特图」按开始/截止日期自动显示时间条（与任务明细日期一致）。</t>
        </is>
      </c>
    </row>
    <row r="7">
      <c r="A7" s="2" t="inlineStr">
        <is>
          <t>5. 可增删任务行：在任务明细第2–31行范围内填写即可。</t>
        </is>
      </c>
    </row>
    <row r="8">
      <c r="A8" s="2" t="inlineStr">
        <is>
          <t>6. 日期请使用 YYYY-MM-DD 格式（如 2026-09-05）。</t>
        </is>
      </c>
    </row>
    <row r="9">
      <c r="A9" s="2" t="inlineStr">
        <is>
          <t>7. 完成进度填写 0 到 1 之间的小数，例如 0.5 表示 50%。</t>
        </is>
      </c>
    </row>
    <row r="10">
      <c r="A10" s="2" t="inlineStr">
        <is>
          <t>8. 本模板面向小微团队/项目负责人，无需复杂项目管理软件。</t>
        </is>
      </c>
    </row>
    <row r="11">
      <c r="A11" s="2" t="inlineStr">
        <is>
          <t>【注意】本商品为可编辑数字模板；售出后不退不换。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6" customWidth="1" min="9" max="9"/>
  </cols>
  <sheetData>
    <row r="1">
      <c r="A1" s="3" t="inlineStr">
        <is>
          <t>任务ID</t>
        </is>
      </c>
      <c r="B1" s="3" t="inlineStr">
        <is>
          <t>任务名称</t>
        </is>
      </c>
      <c r="C1" s="3" t="inlineStr">
        <is>
          <t>负责人</t>
        </is>
      </c>
      <c r="D1" s="3" t="inlineStr">
        <is>
          <t>开始日期</t>
        </is>
      </c>
      <c r="E1" s="3" t="inlineStr">
        <is>
          <t>截止日期</t>
        </is>
      </c>
      <c r="F1" s="3" t="inlineStr">
        <is>
          <t>状态</t>
        </is>
      </c>
      <c r="G1" s="3" t="inlineStr">
        <is>
          <t>完成进度</t>
        </is>
      </c>
      <c r="H1" s="3" t="inlineStr">
        <is>
          <t>工期(天)</t>
        </is>
      </c>
      <c r="I1" s="3" t="inlineStr">
        <is>
          <t>备注</t>
        </is>
      </c>
    </row>
    <row r="2">
      <c r="A2" s="4" t="inlineStr">
        <is>
          <t>T01</t>
        </is>
      </c>
      <c r="B2" s="4" t="inlineStr">
        <is>
          <t>明确项目目标与范围</t>
        </is>
      </c>
      <c r="C2" s="4" t="inlineStr">
        <is>
          <t>张三</t>
        </is>
      </c>
      <c r="D2" s="5" t="n">
        <v>46266</v>
      </c>
      <c r="E2" s="5" t="n">
        <v>46268</v>
      </c>
      <c r="F2" s="4" t="inlineStr">
        <is>
          <t>已完成</t>
        </is>
      </c>
      <c r="G2" s="6" t="n">
        <v>1</v>
      </c>
      <c r="H2" s="7">
        <f>IF(OR(D2="",E2=""),"",E2-D2+1)</f>
        <v/>
      </c>
      <c r="I2" s="4" t="inlineStr">
        <is>
          <t>示例，可改</t>
        </is>
      </c>
    </row>
    <row r="3">
      <c r="A3" s="4" t="inlineStr">
        <is>
          <t>T02</t>
        </is>
      </c>
      <c r="B3" s="4" t="inlineStr">
        <is>
          <t>拆解任务并分配负责人</t>
        </is>
      </c>
      <c r="C3" s="4" t="inlineStr">
        <is>
          <t>李四</t>
        </is>
      </c>
      <c r="D3" s="5" t="n">
        <v>46268</v>
      </c>
      <c r="E3" s="5" t="n">
        <v>46271</v>
      </c>
      <c r="F3" s="4" t="inlineStr">
        <is>
          <t>进行中</t>
        </is>
      </c>
      <c r="G3" s="6" t="n">
        <v>0.6</v>
      </c>
      <c r="H3" s="7">
        <f>IF(OR(D3="",E3=""),"",E3-D3+1)</f>
        <v/>
      </c>
      <c r="I3" s="4" t="inlineStr">
        <is>
          <t>示例，可改</t>
        </is>
      </c>
    </row>
    <row r="4">
      <c r="A4" s="4" t="inlineStr">
        <is>
          <t>T03</t>
        </is>
      </c>
      <c r="B4" s="4" t="inlineStr">
        <is>
          <t>跟踪进度并更新甘特图</t>
        </is>
      </c>
      <c r="C4" s="4" t="inlineStr">
        <is>
          <t>王五</t>
        </is>
      </c>
      <c r="D4" s="5" t="n">
        <v>46270</v>
      </c>
      <c r="E4" s="5" t="n">
        <v>46277</v>
      </c>
      <c r="F4" s="4" t="inlineStr">
        <is>
          <t>未开始</t>
        </is>
      </c>
      <c r="G4" s="6" t="n">
        <v>0</v>
      </c>
      <c r="H4" s="7">
        <f>IF(OR(D4="",E4=""),"",E4-D4+1)</f>
        <v/>
      </c>
      <c r="I4" s="4" t="inlineStr">
        <is>
          <t>示例，可改</t>
        </is>
      </c>
    </row>
    <row r="5">
      <c r="A5" s="4" t="inlineStr">
        <is>
          <t>T04</t>
        </is>
      </c>
      <c r="B5" s="4" t="inlineStr">
        <is>
          <t>周会复盘与风险记录</t>
        </is>
      </c>
      <c r="C5" s="4" t="inlineStr">
        <is>
          <t>张三</t>
        </is>
      </c>
      <c r="D5" s="5" t="n">
        <v>46273</v>
      </c>
      <c r="E5" s="5" t="n">
        <v>46273</v>
      </c>
      <c r="F5" s="4" t="inlineStr">
        <is>
          <t>未开始</t>
        </is>
      </c>
      <c r="G5" s="6" t="n">
        <v>0</v>
      </c>
      <c r="H5" s="7">
        <f>IF(OR(D5="",E5=""),"",E5-D5+1)</f>
        <v/>
      </c>
      <c r="I5" s="4" t="inlineStr">
        <is>
          <t>示例，可改</t>
        </is>
      </c>
    </row>
    <row r="6">
      <c r="A6" s="4" t="inlineStr">
        <is>
          <t>T05</t>
        </is>
      </c>
      <c r="B6" s="4" t="inlineStr">
        <is>
          <t>交付验收与归档</t>
        </is>
      </c>
      <c r="C6" s="4" t="inlineStr">
        <is>
          <t>李四</t>
        </is>
      </c>
      <c r="D6" s="5" t="n">
        <v>46275</v>
      </c>
      <c r="E6" s="5" t="n">
        <v>46280</v>
      </c>
      <c r="F6" s="4" t="inlineStr">
        <is>
          <t>未开始</t>
        </is>
      </c>
      <c r="G6" s="6" t="n">
        <v>0</v>
      </c>
      <c r="H6" s="7">
        <f>IF(OR(D6="",E6=""),"",E6-D6+1)</f>
        <v/>
      </c>
      <c r="I6" s="4" t="inlineStr">
        <is>
          <t>示例，可改</t>
        </is>
      </c>
    </row>
    <row r="7">
      <c r="A7" s="4" t="inlineStr"/>
      <c r="B7" s="4" t="n"/>
      <c r="C7" s="4" t="n"/>
      <c r="D7" s="5" t="n"/>
      <c r="E7" s="5" t="n"/>
      <c r="F7" s="4" t="n"/>
      <c r="G7" s="6" t="n"/>
      <c r="H7" s="7">
        <f>IF(OR(D7="",E7=""),"",E7-D7+1)</f>
        <v/>
      </c>
      <c r="I7" s="4" t="n"/>
    </row>
    <row r="8">
      <c r="A8" s="4" t="inlineStr"/>
      <c r="B8" s="4" t="n"/>
      <c r="C8" s="4" t="n"/>
      <c r="D8" s="5" t="n"/>
      <c r="E8" s="5" t="n"/>
      <c r="F8" s="4" t="n"/>
      <c r="G8" s="6" t="n"/>
      <c r="H8" s="7">
        <f>IF(OR(D8="",E8=""),"",E8-D8+1)</f>
        <v/>
      </c>
      <c r="I8" s="4" t="n"/>
    </row>
    <row r="9">
      <c r="A9" s="4" t="inlineStr"/>
      <c r="B9" s="4" t="n"/>
      <c r="C9" s="4" t="n"/>
      <c r="D9" s="5" t="n"/>
      <c r="E9" s="5" t="n"/>
      <c r="F9" s="4" t="n"/>
      <c r="G9" s="6" t="n"/>
      <c r="H9" s="7">
        <f>IF(OR(D9="",E9=""),"",E9-D9+1)</f>
        <v/>
      </c>
      <c r="I9" s="4" t="n"/>
    </row>
    <row r="10">
      <c r="A10" s="4" t="inlineStr"/>
      <c r="B10" s="4" t="n"/>
      <c r="C10" s="4" t="n"/>
      <c r="D10" s="5" t="n"/>
      <c r="E10" s="5" t="n"/>
      <c r="F10" s="4" t="n"/>
      <c r="G10" s="6" t="n"/>
      <c r="H10" s="7">
        <f>IF(OR(D10="",E10=""),"",E10-D10+1)</f>
        <v/>
      </c>
      <c r="I10" s="4" t="n"/>
    </row>
    <row r="11">
      <c r="A11" s="4" t="inlineStr"/>
      <c r="B11" s="4" t="n"/>
      <c r="C11" s="4" t="n"/>
      <c r="D11" s="5" t="n"/>
      <c r="E11" s="5" t="n"/>
      <c r="F11" s="4" t="n"/>
      <c r="G11" s="6" t="n"/>
      <c r="H11" s="7">
        <f>IF(OR(D11="",E11=""),"",E11-D11+1)</f>
        <v/>
      </c>
      <c r="I11" s="4" t="n"/>
    </row>
    <row r="12">
      <c r="A12" s="4" t="inlineStr"/>
      <c r="B12" s="4" t="n"/>
      <c r="C12" s="4" t="n"/>
      <c r="D12" s="5" t="n"/>
      <c r="E12" s="5" t="n"/>
      <c r="F12" s="4" t="n"/>
      <c r="G12" s="6" t="n"/>
      <c r="H12" s="7">
        <f>IF(OR(D12="",E12=""),"",E12-D12+1)</f>
        <v/>
      </c>
      <c r="I12" s="4" t="n"/>
    </row>
    <row r="13">
      <c r="A13" s="4" t="inlineStr"/>
      <c r="B13" s="4" t="n"/>
      <c r="C13" s="4" t="n"/>
      <c r="D13" s="5" t="n"/>
      <c r="E13" s="5" t="n"/>
      <c r="F13" s="4" t="n"/>
      <c r="G13" s="6" t="n"/>
      <c r="H13" s="7">
        <f>IF(OR(D13="",E13=""),"",E13-D13+1)</f>
        <v/>
      </c>
      <c r="I13" s="4" t="n"/>
    </row>
    <row r="14">
      <c r="A14" s="4" t="inlineStr"/>
      <c r="B14" s="4" t="n"/>
      <c r="C14" s="4" t="n"/>
      <c r="D14" s="5" t="n"/>
      <c r="E14" s="5" t="n"/>
      <c r="F14" s="4" t="n"/>
      <c r="G14" s="6" t="n"/>
      <c r="H14" s="7">
        <f>IF(OR(D14="",E14=""),"",E14-D14+1)</f>
        <v/>
      </c>
      <c r="I14" s="4" t="n"/>
    </row>
    <row r="15">
      <c r="A15" s="4" t="inlineStr"/>
      <c r="B15" s="4" t="n"/>
      <c r="C15" s="4" t="n"/>
      <c r="D15" s="5" t="n"/>
      <c r="E15" s="5" t="n"/>
      <c r="F15" s="4" t="n"/>
      <c r="G15" s="6" t="n"/>
      <c r="H15" s="7">
        <f>IF(OR(D15="",E15=""),"",E15-D15+1)</f>
        <v/>
      </c>
      <c r="I15" s="4" t="n"/>
    </row>
    <row r="16">
      <c r="A16" s="4" t="inlineStr"/>
      <c r="B16" s="4" t="n"/>
      <c r="C16" s="4" t="n"/>
      <c r="D16" s="5" t="n"/>
      <c r="E16" s="5" t="n"/>
      <c r="F16" s="4" t="n"/>
      <c r="G16" s="6" t="n"/>
      <c r="H16" s="7">
        <f>IF(OR(D16="",E16=""),"",E16-D16+1)</f>
        <v/>
      </c>
      <c r="I16" s="4" t="n"/>
    </row>
    <row r="17">
      <c r="A17" s="4" t="inlineStr"/>
      <c r="B17" s="4" t="n"/>
      <c r="C17" s="4" t="n"/>
      <c r="D17" s="5" t="n"/>
      <c r="E17" s="5" t="n"/>
      <c r="F17" s="4" t="n"/>
      <c r="G17" s="6" t="n"/>
      <c r="H17" s="7">
        <f>IF(OR(D17="",E17=""),"",E17-D17+1)</f>
        <v/>
      </c>
      <c r="I17" s="4" t="n"/>
    </row>
    <row r="18">
      <c r="A18" s="4" t="inlineStr"/>
      <c r="B18" s="4" t="n"/>
      <c r="C18" s="4" t="n"/>
      <c r="D18" s="5" t="n"/>
      <c r="E18" s="5" t="n"/>
      <c r="F18" s="4" t="n"/>
      <c r="G18" s="6" t="n"/>
      <c r="H18" s="7">
        <f>IF(OR(D18="",E18=""),"",E18-D18+1)</f>
        <v/>
      </c>
      <c r="I18" s="4" t="n"/>
    </row>
    <row r="19">
      <c r="A19" s="4" t="inlineStr"/>
      <c r="B19" s="4" t="n"/>
      <c r="C19" s="4" t="n"/>
      <c r="D19" s="5" t="n"/>
      <c r="E19" s="5" t="n"/>
      <c r="F19" s="4" t="n"/>
      <c r="G19" s="6" t="n"/>
      <c r="H19" s="7">
        <f>IF(OR(D19="",E19=""),"",E19-D19+1)</f>
        <v/>
      </c>
      <c r="I19" s="4" t="n"/>
    </row>
    <row r="20">
      <c r="A20" s="4" t="inlineStr"/>
      <c r="B20" s="4" t="n"/>
      <c r="C20" s="4" t="n"/>
      <c r="D20" s="5" t="n"/>
      <c r="E20" s="5" t="n"/>
      <c r="F20" s="4" t="n"/>
      <c r="G20" s="6" t="n"/>
      <c r="H20" s="7">
        <f>IF(OR(D20="",E20=""),"",E20-D20+1)</f>
        <v/>
      </c>
      <c r="I20" s="4" t="n"/>
    </row>
    <row r="21">
      <c r="A21" s="4" t="inlineStr"/>
      <c r="B21" s="4" t="n"/>
      <c r="C21" s="4" t="n"/>
      <c r="D21" s="5" t="n"/>
      <c r="E21" s="5" t="n"/>
      <c r="F21" s="4" t="n"/>
      <c r="G21" s="6" t="n"/>
      <c r="H21" s="7">
        <f>IF(OR(D21="",E21=""),"",E21-D21+1)</f>
        <v/>
      </c>
      <c r="I21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s="1" t="inlineStr">
        <is>
          <t>项目总体进度摘要</t>
        </is>
      </c>
    </row>
    <row r="3">
      <c r="A3" t="inlineStr">
        <is>
          <t>项目名称（请填写）</t>
        </is>
      </c>
      <c r="B3" s="8" t="inlineStr">
        <is>
          <t>我的小微团队项目</t>
        </is>
      </c>
    </row>
    <row r="4">
      <c r="A4" t="inlineStr">
        <is>
          <t>项目负责人（请填写）</t>
        </is>
      </c>
      <c r="B4" s="8" t="inlineStr">
        <is>
          <t>张三</t>
        </is>
      </c>
    </row>
    <row r="6">
      <c r="A6" t="inlineStr">
        <is>
          <t>任务总数</t>
        </is>
      </c>
      <c r="B6">
        <f>COUNTA(任务明细!B2:B21)</f>
        <v/>
      </c>
    </row>
    <row r="7">
      <c r="A7" t="inlineStr">
        <is>
          <t>已完成任务数</t>
        </is>
      </c>
      <c r="B7">
        <f>COUNTIF(任务明细!F2:F21,"已完成")</f>
        <v/>
      </c>
    </row>
    <row r="8">
      <c r="A8" t="inlineStr">
        <is>
          <t>进行中任务数</t>
        </is>
      </c>
      <c r="B8">
        <f>COUNTIF(任务明细!F2:F21,"进行中")</f>
        <v/>
      </c>
    </row>
    <row r="9">
      <c r="A9" t="inlineStr">
        <is>
          <t>未开始任务数</t>
        </is>
      </c>
      <c r="B9">
        <f>COUNTIF(任务明细!F2:F21,"未开始")</f>
        <v/>
      </c>
    </row>
    <row r="10">
      <c r="A10" t="inlineStr">
        <is>
          <t>平均完成进度</t>
        </is>
      </c>
      <c r="B10" s="9">
        <f>IFERROR(AVERAGE(任务明细!G2:G21),0)</f>
        <v/>
      </c>
    </row>
    <row r="12">
      <c r="A12" t="inlineStr">
        <is>
          <t>最早开始日期</t>
        </is>
      </c>
      <c r="B12" s="10">
        <f>IFERROR(MIN(任务明细!D2:D21),"")</f>
        <v/>
      </c>
    </row>
    <row r="13">
      <c r="A13" t="inlineStr">
        <is>
          <t>最晚截止日期</t>
        </is>
      </c>
      <c r="B13" s="10">
        <f>IFERROR(MAX(任务明细!E2:E21),"")</f>
        <v/>
      </c>
    </row>
    <row r="15">
      <c r="A15" t="inlineStr">
        <is>
          <t>使用提示</t>
        </is>
      </c>
    </row>
    <row r="16">
      <c r="A16" t="inlineStr">
        <is>
          <t>先在「任务明细」填写任务；本页自动汇总；再看「甘特图」时间条。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</cols>
  <sheetData>
    <row r="1">
      <c r="A1" s="11" t="inlineStr">
        <is>
          <t>任务名称</t>
        </is>
      </c>
      <c r="B1" s="11" t="inlineStr">
        <is>
          <t>开始</t>
        </is>
      </c>
      <c r="C1" s="11" t="inlineStr">
        <is>
          <t>截止</t>
        </is>
      </c>
      <c r="D1" s="12" t="n">
        <v>46266</v>
      </c>
      <c r="E1" s="12" t="n">
        <v>46267</v>
      </c>
      <c r="F1" s="12" t="n">
        <v>46268</v>
      </c>
      <c r="G1" s="12" t="n">
        <v>46269</v>
      </c>
      <c r="H1" s="12" t="n">
        <v>46270</v>
      </c>
      <c r="I1" s="12" t="n">
        <v>46271</v>
      </c>
      <c r="J1" s="12" t="n">
        <v>46272</v>
      </c>
      <c r="K1" s="12" t="n">
        <v>46273</v>
      </c>
      <c r="L1" s="12" t="n">
        <v>46274</v>
      </c>
      <c r="M1" s="12" t="n">
        <v>46275</v>
      </c>
      <c r="N1" s="12" t="n">
        <v>46276</v>
      </c>
      <c r="O1" s="12" t="n">
        <v>46277</v>
      </c>
      <c r="P1" s="12" t="n">
        <v>46278</v>
      </c>
      <c r="Q1" s="12" t="n">
        <v>46279</v>
      </c>
      <c r="R1" s="12" t="n">
        <v>46280</v>
      </c>
      <c r="S1" s="12" t="n">
        <v>46281</v>
      </c>
    </row>
    <row r="2">
      <c r="A2" s="7">
        <f>IF(任务明细!B2="","",任务明细!B2)</f>
        <v/>
      </c>
      <c r="B2" s="13">
        <f>IF(任务明细!D2="","",任务明细!D2)</f>
        <v/>
      </c>
      <c r="C2" s="13">
        <f>IF(任务明细!E2="","",任务明细!E2)</f>
        <v/>
      </c>
      <c r="D2" s="14">
        <f>IF(OR($A2="",$B2="",$C2=""),"",IF(AND(D$1&gt;=$B2,D$1&lt;=$C2),"█",""))</f>
        <v/>
      </c>
      <c r="E2" s="14">
        <f>IF(OR($A2="",$B2="",$C2=""),"",IF(AND(E$1&gt;=$B2,E$1&lt;=$C2),"█",""))</f>
        <v/>
      </c>
      <c r="F2" s="14">
        <f>IF(OR($A2="",$B2="",$C2=""),"",IF(AND(F$1&gt;=$B2,F$1&lt;=$C2),"█",""))</f>
        <v/>
      </c>
      <c r="G2" s="14">
        <f>IF(OR($A2="",$B2="",$C2=""),"",IF(AND(G$1&gt;=$B2,G$1&lt;=$C2),"█",""))</f>
        <v/>
      </c>
      <c r="H2" s="14">
        <f>IF(OR($A2="",$B2="",$C2=""),"",IF(AND(H$1&gt;=$B2,H$1&lt;=$C2),"█",""))</f>
        <v/>
      </c>
      <c r="I2" s="14">
        <f>IF(OR($A2="",$B2="",$C2=""),"",IF(AND(I$1&gt;=$B2,I$1&lt;=$C2),"█",""))</f>
        <v/>
      </c>
      <c r="J2" s="14">
        <f>IF(OR($A2="",$B2="",$C2=""),"",IF(AND(J$1&gt;=$B2,J$1&lt;=$C2),"█",""))</f>
        <v/>
      </c>
      <c r="K2" s="14">
        <f>IF(OR($A2="",$B2="",$C2=""),"",IF(AND(K$1&gt;=$B2,K$1&lt;=$C2),"█",""))</f>
        <v/>
      </c>
      <c r="L2" s="14">
        <f>IF(OR($A2="",$B2="",$C2=""),"",IF(AND(L$1&gt;=$B2,L$1&lt;=$C2),"█",""))</f>
        <v/>
      </c>
      <c r="M2" s="14">
        <f>IF(OR($A2="",$B2="",$C2=""),"",IF(AND(M$1&gt;=$B2,M$1&lt;=$C2),"█",""))</f>
        <v/>
      </c>
      <c r="N2" s="14">
        <f>IF(OR($A2="",$B2="",$C2=""),"",IF(AND(N$1&gt;=$B2,N$1&lt;=$C2),"█",""))</f>
        <v/>
      </c>
      <c r="O2" s="14">
        <f>IF(OR($A2="",$B2="",$C2=""),"",IF(AND(O$1&gt;=$B2,O$1&lt;=$C2),"█",""))</f>
        <v/>
      </c>
      <c r="P2" s="14">
        <f>IF(OR($A2="",$B2="",$C2=""),"",IF(AND(P$1&gt;=$B2,P$1&lt;=$C2),"█",""))</f>
        <v/>
      </c>
      <c r="Q2" s="14">
        <f>IF(OR($A2="",$B2="",$C2=""),"",IF(AND(Q$1&gt;=$B2,Q$1&lt;=$C2),"█",""))</f>
        <v/>
      </c>
      <c r="R2" s="14">
        <f>IF(OR($A2="",$B2="",$C2=""),"",IF(AND(R$1&gt;=$B2,R$1&lt;=$C2),"█",""))</f>
        <v/>
      </c>
      <c r="S2" s="14">
        <f>IF(OR($A2="",$B2="",$C2=""),"",IF(AND(S$1&gt;=$B2,S$1&lt;=$C2),"█",""))</f>
        <v/>
      </c>
    </row>
    <row r="3">
      <c r="A3" s="7">
        <f>IF(任务明细!B3="","",任务明细!B3)</f>
        <v/>
      </c>
      <c r="B3" s="13">
        <f>IF(任务明细!D3="","",任务明细!D3)</f>
        <v/>
      </c>
      <c r="C3" s="13">
        <f>IF(任务明细!E3="","",任务明细!E3)</f>
        <v/>
      </c>
      <c r="D3" s="14">
        <f>IF(OR($A3="",$B3="",$C3=""),"",IF(AND(D$1&gt;=$B3,D$1&lt;=$C3),"█",""))</f>
        <v/>
      </c>
      <c r="E3" s="14">
        <f>IF(OR($A3="",$B3="",$C3=""),"",IF(AND(E$1&gt;=$B3,E$1&lt;=$C3),"█",""))</f>
        <v/>
      </c>
      <c r="F3" s="14">
        <f>IF(OR($A3="",$B3="",$C3=""),"",IF(AND(F$1&gt;=$B3,F$1&lt;=$C3),"█",""))</f>
        <v/>
      </c>
      <c r="G3" s="14">
        <f>IF(OR($A3="",$B3="",$C3=""),"",IF(AND(G$1&gt;=$B3,G$1&lt;=$C3),"█",""))</f>
        <v/>
      </c>
      <c r="H3" s="14">
        <f>IF(OR($A3="",$B3="",$C3=""),"",IF(AND(H$1&gt;=$B3,H$1&lt;=$C3),"█",""))</f>
        <v/>
      </c>
      <c r="I3" s="14">
        <f>IF(OR($A3="",$B3="",$C3=""),"",IF(AND(I$1&gt;=$B3,I$1&lt;=$C3),"█",""))</f>
        <v/>
      </c>
      <c r="J3" s="14">
        <f>IF(OR($A3="",$B3="",$C3=""),"",IF(AND(J$1&gt;=$B3,J$1&lt;=$C3),"█",""))</f>
        <v/>
      </c>
      <c r="K3" s="14">
        <f>IF(OR($A3="",$B3="",$C3=""),"",IF(AND(K$1&gt;=$B3,K$1&lt;=$C3),"█",""))</f>
        <v/>
      </c>
      <c r="L3" s="14">
        <f>IF(OR($A3="",$B3="",$C3=""),"",IF(AND(L$1&gt;=$B3,L$1&lt;=$C3),"█",""))</f>
        <v/>
      </c>
      <c r="M3" s="14">
        <f>IF(OR($A3="",$B3="",$C3=""),"",IF(AND(M$1&gt;=$B3,M$1&lt;=$C3),"█",""))</f>
        <v/>
      </c>
      <c r="N3" s="14">
        <f>IF(OR($A3="",$B3="",$C3=""),"",IF(AND(N$1&gt;=$B3,N$1&lt;=$C3),"█",""))</f>
        <v/>
      </c>
      <c r="O3" s="14">
        <f>IF(OR($A3="",$B3="",$C3=""),"",IF(AND(O$1&gt;=$B3,O$1&lt;=$C3),"█",""))</f>
        <v/>
      </c>
      <c r="P3" s="14">
        <f>IF(OR($A3="",$B3="",$C3=""),"",IF(AND(P$1&gt;=$B3,P$1&lt;=$C3),"█",""))</f>
        <v/>
      </c>
      <c r="Q3" s="14">
        <f>IF(OR($A3="",$B3="",$C3=""),"",IF(AND(Q$1&gt;=$B3,Q$1&lt;=$C3),"█",""))</f>
        <v/>
      </c>
      <c r="R3" s="14">
        <f>IF(OR($A3="",$B3="",$C3=""),"",IF(AND(R$1&gt;=$B3,R$1&lt;=$C3),"█",""))</f>
        <v/>
      </c>
      <c r="S3" s="14">
        <f>IF(OR($A3="",$B3="",$C3=""),"",IF(AND(S$1&gt;=$B3,S$1&lt;=$C3),"█",""))</f>
        <v/>
      </c>
    </row>
    <row r="4">
      <c r="A4" s="7">
        <f>IF(任务明细!B4="","",任务明细!B4)</f>
        <v/>
      </c>
      <c r="B4" s="13">
        <f>IF(任务明细!D4="","",任务明细!D4)</f>
        <v/>
      </c>
      <c r="C4" s="13">
        <f>IF(任务明细!E4="","",任务明细!E4)</f>
        <v/>
      </c>
      <c r="D4" s="14">
        <f>IF(OR($A4="",$B4="",$C4=""),"",IF(AND(D$1&gt;=$B4,D$1&lt;=$C4),"█",""))</f>
        <v/>
      </c>
      <c r="E4" s="14">
        <f>IF(OR($A4="",$B4="",$C4=""),"",IF(AND(E$1&gt;=$B4,E$1&lt;=$C4),"█",""))</f>
        <v/>
      </c>
      <c r="F4" s="14">
        <f>IF(OR($A4="",$B4="",$C4=""),"",IF(AND(F$1&gt;=$B4,F$1&lt;=$C4),"█",""))</f>
        <v/>
      </c>
      <c r="G4" s="14">
        <f>IF(OR($A4="",$B4="",$C4=""),"",IF(AND(G$1&gt;=$B4,G$1&lt;=$C4),"█",""))</f>
        <v/>
      </c>
      <c r="H4" s="14">
        <f>IF(OR($A4="",$B4="",$C4=""),"",IF(AND(H$1&gt;=$B4,H$1&lt;=$C4),"█",""))</f>
        <v/>
      </c>
      <c r="I4" s="14">
        <f>IF(OR($A4="",$B4="",$C4=""),"",IF(AND(I$1&gt;=$B4,I$1&lt;=$C4),"█",""))</f>
        <v/>
      </c>
      <c r="J4" s="14">
        <f>IF(OR($A4="",$B4="",$C4=""),"",IF(AND(J$1&gt;=$B4,J$1&lt;=$C4),"█",""))</f>
        <v/>
      </c>
      <c r="K4" s="14">
        <f>IF(OR($A4="",$B4="",$C4=""),"",IF(AND(K$1&gt;=$B4,K$1&lt;=$C4),"█",""))</f>
        <v/>
      </c>
      <c r="L4" s="14">
        <f>IF(OR($A4="",$B4="",$C4=""),"",IF(AND(L$1&gt;=$B4,L$1&lt;=$C4),"█",""))</f>
        <v/>
      </c>
      <c r="M4" s="14">
        <f>IF(OR($A4="",$B4="",$C4=""),"",IF(AND(M$1&gt;=$B4,M$1&lt;=$C4),"█",""))</f>
        <v/>
      </c>
      <c r="N4" s="14">
        <f>IF(OR($A4="",$B4="",$C4=""),"",IF(AND(N$1&gt;=$B4,N$1&lt;=$C4),"█",""))</f>
        <v/>
      </c>
      <c r="O4" s="14">
        <f>IF(OR($A4="",$B4="",$C4=""),"",IF(AND(O$1&gt;=$B4,O$1&lt;=$C4),"█",""))</f>
        <v/>
      </c>
      <c r="P4" s="14">
        <f>IF(OR($A4="",$B4="",$C4=""),"",IF(AND(P$1&gt;=$B4,P$1&lt;=$C4),"█",""))</f>
        <v/>
      </c>
      <c r="Q4" s="14">
        <f>IF(OR($A4="",$B4="",$C4=""),"",IF(AND(Q$1&gt;=$B4,Q$1&lt;=$C4),"█",""))</f>
        <v/>
      </c>
      <c r="R4" s="14">
        <f>IF(OR($A4="",$B4="",$C4=""),"",IF(AND(R$1&gt;=$B4,R$1&lt;=$C4),"█",""))</f>
        <v/>
      </c>
      <c r="S4" s="14">
        <f>IF(OR($A4="",$B4="",$C4=""),"",IF(AND(S$1&gt;=$B4,S$1&lt;=$C4),"█",""))</f>
        <v/>
      </c>
    </row>
    <row r="5">
      <c r="A5" s="7">
        <f>IF(任务明细!B5="","",任务明细!B5)</f>
        <v/>
      </c>
      <c r="B5" s="13">
        <f>IF(任务明细!D5="","",任务明细!D5)</f>
        <v/>
      </c>
      <c r="C5" s="13">
        <f>IF(任务明细!E5="","",任务明细!E5)</f>
        <v/>
      </c>
      <c r="D5" s="14">
        <f>IF(OR($A5="",$B5="",$C5=""),"",IF(AND(D$1&gt;=$B5,D$1&lt;=$C5),"█",""))</f>
        <v/>
      </c>
      <c r="E5" s="14">
        <f>IF(OR($A5="",$B5="",$C5=""),"",IF(AND(E$1&gt;=$B5,E$1&lt;=$C5),"█",""))</f>
        <v/>
      </c>
      <c r="F5" s="14">
        <f>IF(OR($A5="",$B5="",$C5=""),"",IF(AND(F$1&gt;=$B5,F$1&lt;=$C5),"█",""))</f>
        <v/>
      </c>
      <c r="G5" s="14">
        <f>IF(OR($A5="",$B5="",$C5=""),"",IF(AND(G$1&gt;=$B5,G$1&lt;=$C5),"█",""))</f>
        <v/>
      </c>
      <c r="H5" s="14">
        <f>IF(OR($A5="",$B5="",$C5=""),"",IF(AND(H$1&gt;=$B5,H$1&lt;=$C5),"█",""))</f>
        <v/>
      </c>
      <c r="I5" s="14">
        <f>IF(OR($A5="",$B5="",$C5=""),"",IF(AND(I$1&gt;=$B5,I$1&lt;=$C5),"█",""))</f>
        <v/>
      </c>
      <c r="J5" s="14">
        <f>IF(OR($A5="",$B5="",$C5=""),"",IF(AND(J$1&gt;=$B5,J$1&lt;=$C5),"█",""))</f>
        <v/>
      </c>
      <c r="K5" s="14">
        <f>IF(OR($A5="",$B5="",$C5=""),"",IF(AND(K$1&gt;=$B5,K$1&lt;=$C5),"█",""))</f>
        <v/>
      </c>
      <c r="L5" s="14">
        <f>IF(OR($A5="",$B5="",$C5=""),"",IF(AND(L$1&gt;=$B5,L$1&lt;=$C5),"█",""))</f>
        <v/>
      </c>
      <c r="M5" s="14">
        <f>IF(OR($A5="",$B5="",$C5=""),"",IF(AND(M$1&gt;=$B5,M$1&lt;=$C5),"█",""))</f>
        <v/>
      </c>
      <c r="N5" s="14">
        <f>IF(OR($A5="",$B5="",$C5=""),"",IF(AND(N$1&gt;=$B5,N$1&lt;=$C5),"█",""))</f>
        <v/>
      </c>
      <c r="O5" s="14">
        <f>IF(OR($A5="",$B5="",$C5=""),"",IF(AND(O$1&gt;=$B5,O$1&lt;=$C5),"█",""))</f>
        <v/>
      </c>
      <c r="P5" s="14">
        <f>IF(OR($A5="",$B5="",$C5=""),"",IF(AND(P$1&gt;=$B5,P$1&lt;=$C5),"█",""))</f>
        <v/>
      </c>
      <c r="Q5" s="14">
        <f>IF(OR($A5="",$B5="",$C5=""),"",IF(AND(Q$1&gt;=$B5,Q$1&lt;=$C5),"█",""))</f>
        <v/>
      </c>
      <c r="R5" s="14">
        <f>IF(OR($A5="",$B5="",$C5=""),"",IF(AND(R$1&gt;=$B5,R$1&lt;=$C5),"█",""))</f>
        <v/>
      </c>
      <c r="S5" s="14">
        <f>IF(OR($A5="",$B5="",$C5=""),"",IF(AND(S$1&gt;=$B5,S$1&lt;=$C5),"█",""))</f>
        <v/>
      </c>
    </row>
    <row r="6">
      <c r="A6" s="7">
        <f>IF(任务明细!B6="","",任务明细!B6)</f>
        <v/>
      </c>
      <c r="B6" s="13">
        <f>IF(任务明细!D6="","",任务明细!D6)</f>
        <v/>
      </c>
      <c r="C6" s="13">
        <f>IF(任务明细!E6="","",任务明细!E6)</f>
        <v/>
      </c>
      <c r="D6" s="14">
        <f>IF(OR($A6="",$B6="",$C6=""),"",IF(AND(D$1&gt;=$B6,D$1&lt;=$C6),"█",""))</f>
        <v/>
      </c>
      <c r="E6" s="14">
        <f>IF(OR($A6="",$B6="",$C6=""),"",IF(AND(E$1&gt;=$B6,E$1&lt;=$C6),"█",""))</f>
        <v/>
      </c>
      <c r="F6" s="14">
        <f>IF(OR($A6="",$B6="",$C6=""),"",IF(AND(F$1&gt;=$B6,F$1&lt;=$C6),"█",""))</f>
        <v/>
      </c>
      <c r="G6" s="14">
        <f>IF(OR($A6="",$B6="",$C6=""),"",IF(AND(G$1&gt;=$B6,G$1&lt;=$C6),"█",""))</f>
        <v/>
      </c>
      <c r="H6" s="14">
        <f>IF(OR($A6="",$B6="",$C6=""),"",IF(AND(H$1&gt;=$B6,H$1&lt;=$C6),"█",""))</f>
        <v/>
      </c>
      <c r="I6" s="14">
        <f>IF(OR($A6="",$B6="",$C6=""),"",IF(AND(I$1&gt;=$B6,I$1&lt;=$C6),"█",""))</f>
        <v/>
      </c>
      <c r="J6" s="14">
        <f>IF(OR($A6="",$B6="",$C6=""),"",IF(AND(J$1&gt;=$B6,J$1&lt;=$C6),"█",""))</f>
        <v/>
      </c>
      <c r="K6" s="14">
        <f>IF(OR($A6="",$B6="",$C6=""),"",IF(AND(K$1&gt;=$B6,K$1&lt;=$C6),"█",""))</f>
        <v/>
      </c>
      <c r="L6" s="14">
        <f>IF(OR($A6="",$B6="",$C6=""),"",IF(AND(L$1&gt;=$B6,L$1&lt;=$C6),"█",""))</f>
        <v/>
      </c>
      <c r="M6" s="14">
        <f>IF(OR($A6="",$B6="",$C6=""),"",IF(AND(M$1&gt;=$B6,M$1&lt;=$C6),"█",""))</f>
        <v/>
      </c>
      <c r="N6" s="14">
        <f>IF(OR($A6="",$B6="",$C6=""),"",IF(AND(N$1&gt;=$B6,N$1&lt;=$C6),"█",""))</f>
        <v/>
      </c>
      <c r="O6" s="14">
        <f>IF(OR($A6="",$B6="",$C6=""),"",IF(AND(O$1&gt;=$B6,O$1&lt;=$C6),"█",""))</f>
        <v/>
      </c>
      <c r="P6" s="14">
        <f>IF(OR($A6="",$B6="",$C6=""),"",IF(AND(P$1&gt;=$B6,P$1&lt;=$C6),"█",""))</f>
        <v/>
      </c>
      <c r="Q6" s="14">
        <f>IF(OR($A6="",$B6="",$C6=""),"",IF(AND(Q$1&gt;=$B6,Q$1&lt;=$C6),"█",""))</f>
        <v/>
      </c>
      <c r="R6" s="14">
        <f>IF(OR($A6="",$B6="",$C6=""),"",IF(AND(R$1&gt;=$B6,R$1&lt;=$C6),"█",""))</f>
        <v/>
      </c>
      <c r="S6" s="14">
        <f>IF(OR($A6="",$B6="",$C6=""),"",IF(AND(S$1&gt;=$B6,S$1&lt;=$C6),"█",""))</f>
        <v/>
      </c>
    </row>
    <row r="7">
      <c r="A7" s="7">
        <f>IF(任务明细!B7="","",任务明细!B7)</f>
        <v/>
      </c>
      <c r="B7" s="13">
        <f>IF(任务明细!D7="","",任务明细!D7)</f>
        <v/>
      </c>
      <c r="C7" s="13">
        <f>IF(任务明细!E7="","",任务明细!E7)</f>
        <v/>
      </c>
      <c r="D7" s="14">
        <f>IF(OR($A7="",$B7="",$C7=""),"",IF(AND(D$1&gt;=$B7,D$1&lt;=$C7),"█",""))</f>
        <v/>
      </c>
      <c r="E7" s="14">
        <f>IF(OR($A7="",$B7="",$C7=""),"",IF(AND(E$1&gt;=$B7,E$1&lt;=$C7),"█",""))</f>
        <v/>
      </c>
      <c r="F7" s="14">
        <f>IF(OR($A7="",$B7="",$C7=""),"",IF(AND(F$1&gt;=$B7,F$1&lt;=$C7),"█",""))</f>
        <v/>
      </c>
      <c r="G7" s="14">
        <f>IF(OR($A7="",$B7="",$C7=""),"",IF(AND(G$1&gt;=$B7,G$1&lt;=$C7),"█",""))</f>
        <v/>
      </c>
      <c r="H7" s="14">
        <f>IF(OR($A7="",$B7="",$C7=""),"",IF(AND(H$1&gt;=$B7,H$1&lt;=$C7),"█",""))</f>
        <v/>
      </c>
      <c r="I7" s="14">
        <f>IF(OR($A7="",$B7="",$C7=""),"",IF(AND(I$1&gt;=$B7,I$1&lt;=$C7),"█",""))</f>
        <v/>
      </c>
      <c r="J7" s="14">
        <f>IF(OR($A7="",$B7="",$C7=""),"",IF(AND(J$1&gt;=$B7,J$1&lt;=$C7),"█",""))</f>
        <v/>
      </c>
      <c r="K7" s="14">
        <f>IF(OR($A7="",$B7="",$C7=""),"",IF(AND(K$1&gt;=$B7,K$1&lt;=$C7),"█",""))</f>
        <v/>
      </c>
      <c r="L7" s="14">
        <f>IF(OR($A7="",$B7="",$C7=""),"",IF(AND(L$1&gt;=$B7,L$1&lt;=$C7),"█",""))</f>
        <v/>
      </c>
      <c r="M7" s="14">
        <f>IF(OR($A7="",$B7="",$C7=""),"",IF(AND(M$1&gt;=$B7,M$1&lt;=$C7),"█",""))</f>
        <v/>
      </c>
      <c r="N7" s="14">
        <f>IF(OR($A7="",$B7="",$C7=""),"",IF(AND(N$1&gt;=$B7,N$1&lt;=$C7),"█",""))</f>
        <v/>
      </c>
      <c r="O7" s="14">
        <f>IF(OR($A7="",$B7="",$C7=""),"",IF(AND(O$1&gt;=$B7,O$1&lt;=$C7),"█",""))</f>
        <v/>
      </c>
      <c r="P7" s="14">
        <f>IF(OR($A7="",$B7="",$C7=""),"",IF(AND(P$1&gt;=$B7,P$1&lt;=$C7),"█",""))</f>
        <v/>
      </c>
      <c r="Q7" s="14">
        <f>IF(OR($A7="",$B7="",$C7=""),"",IF(AND(Q$1&gt;=$B7,Q$1&lt;=$C7),"█",""))</f>
        <v/>
      </c>
      <c r="R7" s="14">
        <f>IF(OR($A7="",$B7="",$C7=""),"",IF(AND(R$1&gt;=$B7,R$1&lt;=$C7),"█",""))</f>
        <v/>
      </c>
      <c r="S7" s="14">
        <f>IF(OR($A7="",$B7="",$C7=""),"",IF(AND(S$1&gt;=$B7,S$1&lt;=$C7),"█",""))</f>
        <v/>
      </c>
    </row>
    <row r="8">
      <c r="A8" s="7">
        <f>IF(任务明细!B8="","",任务明细!B8)</f>
        <v/>
      </c>
      <c r="B8" s="13">
        <f>IF(任务明细!D8="","",任务明细!D8)</f>
        <v/>
      </c>
      <c r="C8" s="13">
        <f>IF(任务明细!E8="","",任务明细!E8)</f>
        <v/>
      </c>
      <c r="D8" s="14">
        <f>IF(OR($A8="",$B8="",$C8=""),"",IF(AND(D$1&gt;=$B8,D$1&lt;=$C8),"█",""))</f>
        <v/>
      </c>
      <c r="E8" s="14">
        <f>IF(OR($A8="",$B8="",$C8=""),"",IF(AND(E$1&gt;=$B8,E$1&lt;=$C8),"█",""))</f>
        <v/>
      </c>
      <c r="F8" s="14">
        <f>IF(OR($A8="",$B8="",$C8=""),"",IF(AND(F$1&gt;=$B8,F$1&lt;=$C8),"█",""))</f>
        <v/>
      </c>
      <c r="G8" s="14">
        <f>IF(OR($A8="",$B8="",$C8=""),"",IF(AND(G$1&gt;=$B8,G$1&lt;=$C8),"█",""))</f>
        <v/>
      </c>
      <c r="H8" s="14">
        <f>IF(OR($A8="",$B8="",$C8=""),"",IF(AND(H$1&gt;=$B8,H$1&lt;=$C8),"█",""))</f>
        <v/>
      </c>
      <c r="I8" s="14">
        <f>IF(OR($A8="",$B8="",$C8=""),"",IF(AND(I$1&gt;=$B8,I$1&lt;=$C8),"█",""))</f>
        <v/>
      </c>
      <c r="J8" s="14">
        <f>IF(OR($A8="",$B8="",$C8=""),"",IF(AND(J$1&gt;=$B8,J$1&lt;=$C8),"█",""))</f>
        <v/>
      </c>
      <c r="K8" s="14">
        <f>IF(OR($A8="",$B8="",$C8=""),"",IF(AND(K$1&gt;=$B8,K$1&lt;=$C8),"█",""))</f>
        <v/>
      </c>
      <c r="L8" s="14">
        <f>IF(OR($A8="",$B8="",$C8=""),"",IF(AND(L$1&gt;=$B8,L$1&lt;=$C8),"█",""))</f>
        <v/>
      </c>
      <c r="M8" s="14">
        <f>IF(OR($A8="",$B8="",$C8=""),"",IF(AND(M$1&gt;=$B8,M$1&lt;=$C8),"█",""))</f>
        <v/>
      </c>
      <c r="N8" s="14">
        <f>IF(OR($A8="",$B8="",$C8=""),"",IF(AND(N$1&gt;=$B8,N$1&lt;=$C8),"█",""))</f>
        <v/>
      </c>
      <c r="O8" s="14">
        <f>IF(OR($A8="",$B8="",$C8=""),"",IF(AND(O$1&gt;=$B8,O$1&lt;=$C8),"█",""))</f>
        <v/>
      </c>
      <c r="P8" s="14">
        <f>IF(OR($A8="",$B8="",$C8=""),"",IF(AND(P$1&gt;=$B8,P$1&lt;=$C8),"█",""))</f>
        <v/>
      </c>
      <c r="Q8" s="14">
        <f>IF(OR($A8="",$B8="",$C8=""),"",IF(AND(Q$1&gt;=$B8,Q$1&lt;=$C8),"█",""))</f>
        <v/>
      </c>
      <c r="R8" s="14">
        <f>IF(OR($A8="",$B8="",$C8=""),"",IF(AND(R$1&gt;=$B8,R$1&lt;=$C8),"█",""))</f>
        <v/>
      </c>
      <c r="S8" s="14">
        <f>IF(OR($A8="",$B8="",$C8=""),"",IF(AND(S$1&gt;=$B8,S$1&lt;=$C8),"█",""))</f>
        <v/>
      </c>
    </row>
    <row r="9">
      <c r="A9" s="7">
        <f>IF(任务明细!B9="","",任务明细!B9)</f>
        <v/>
      </c>
      <c r="B9" s="13">
        <f>IF(任务明细!D9="","",任务明细!D9)</f>
        <v/>
      </c>
      <c r="C9" s="13">
        <f>IF(任务明细!E9="","",任务明细!E9)</f>
        <v/>
      </c>
      <c r="D9" s="14">
        <f>IF(OR($A9="",$B9="",$C9=""),"",IF(AND(D$1&gt;=$B9,D$1&lt;=$C9),"█",""))</f>
        <v/>
      </c>
      <c r="E9" s="14">
        <f>IF(OR($A9="",$B9="",$C9=""),"",IF(AND(E$1&gt;=$B9,E$1&lt;=$C9),"█",""))</f>
        <v/>
      </c>
      <c r="F9" s="14">
        <f>IF(OR($A9="",$B9="",$C9=""),"",IF(AND(F$1&gt;=$B9,F$1&lt;=$C9),"█",""))</f>
        <v/>
      </c>
      <c r="G9" s="14">
        <f>IF(OR($A9="",$B9="",$C9=""),"",IF(AND(G$1&gt;=$B9,G$1&lt;=$C9),"█",""))</f>
        <v/>
      </c>
      <c r="H9" s="14">
        <f>IF(OR($A9="",$B9="",$C9=""),"",IF(AND(H$1&gt;=$B9,H$1&lt;=$C9),"█",""))</f>
        <v/>
      </c>
      <c r="I9" s="14">
        <f>IF(OR($A9="",$B9="",$C9=""),"",IF(AND(I$1&gt;=$B9,I$1&lt;=$C9),"█",""))</f>
        <v/>
      </c>
      <c r="J9" s="14">
        <f>IF(OR($A9="",$B9="",$C9=""),"",IF(AND(J$1&gt;=$B9,J$1&lt;=$C9),"█",""))</f>
        <v/>
      </c>
      <c r="K9" s="14">
        <f>IF(OR($A9="",$B9="",$C9=""),"",IF(AND(K$1&gt;=$B9,K$1&lt;=$C9),"█",""))</f>
        <v/>
      </c>
      <c r="L9" s="14">
        <f>IF(OR($A9="",$B9="",$C9=""),"",IF(AND(L$1&gt;=$B9,L$1&lt;=$C9),"█",""))</f>
        <v/>
      </c>
      <c r="M9" s="14">
        <f>IF(OR($A9="",$B9="",$C9=""),"",IF(AND(M$1&gt;=$B9,M$1&lt;=$C9),"█",""))</f>
        <v/>
      </c>
      <c r="N9" s="14">
        <f>IF(OR($A9="",$B9="",$C9=""),"",IF(AND(N$1&gt;=$B9,N$1&lt;=$C9),"█",""))</f>
        <v/>
      </c>
      <c r="O9" s="14">
        <f>IF(OR($A9="",$B9="",$C9=""),"",IF(AND(O$1&gt;=$B9,O$1&lt;=$C9),"█",""))</f>
        <v/>
      </c>
      <c r="P9" s="14">
        <f>IF(OR($A9="",$B9="",$C9=""),"",IF(AND(P$1&gt;=$B9,P$1&lt;=$C9),"█",""))</f>
        <v/>
      </c>
      <c r="Q9" s="14">
        <f>IF(OR($A9="",$B9="",$C9=""),"",IF(AND(Q$1&gt;=$B9,Q$1&lt;=$C9),"█",""))</f>
        <v/>
      </c>
      <c r="R9" s="14">
        <f>IF(OR($A9="",$B9="",$C9=""),"",IF(AND(R$1&gt;=$B9,R$1&lt;=$C9),"█",""))</f>
        <v/>
      </c>
      <c r="S9" s="14">
        <f>IF(OR($A9="",$B9="",$C9=""),"",IF(AND(S$1&gt;=$B9,S$1&lt;=$C9),"█",""))</f>
        <v/>
      </c>
    </row>
    <row r="10">
      <c r="A10" s="7">
        <f>IF(任务明细!B10="","",任务明细!B10)</f>
        <v/>
      </c>
      <c r="B10" s="13">
        <f>IF(任务明细!D10="","",任务明细!D10)</f>
        <v/>
      </c>
      <c r="C10" s="13">
        <f>IF(任务明细!E10="","",任务明细!E10)</f>
        <v/>
      </c>
      <c r="D10" s="14">
        <f>IF(OR($A10="",$B10="",$C10=""),"",IF(AND(D$1&gt;=$B10,D$1&lt;=$C10),"█",""))</f>
        <v/>
      </c>
      <c r="E10" s="14">
        <f>IF(OR($A10="",$B10="",$C10=""),"",IF(AND(E$1&gt;=$B10,E$1&lt;=$C10),"█",""))</f>
        <v/>
      </c>
      <c r="F10" s="14">
        <f>IF(OR($A10="",$B10="",$C10=""),"",IF(AND(F$1&gt;=$B10,F$1&lt;=$C10),"█",""))</f>
        <v/>
      </c>
      <c r="G10" s="14">
        <f>IF(OR($A10="",$B10="",$C10=""),"",IF(AND(G$1&gt;=$B10,G$1&lt;=$C10),"█",""))</f>
        <v/>
      </c>
      <c r="H10" s="14">
        <f>IF(OR($A10="",$B10="",$C10=""),"",IF(AND(H$1&gt;=$B10,H$1&lt;=$C10),"█",""))</f>
        <v/>
      </c>
      <c r="I10" s="14">
        <f>IF(OR($A10="",$B10="",$C10=""),"",IF(AND(I$1&gt;=$B10,I$1&lt;=$C10),"█",""))</f>
        <v/>
      </c>
      <c r="J10" s="14">
        <f>IF(OR($A10="",$B10="",$C10=""),"",IF(AND(J$1&gt;=$B10,J$1&lt;=$C10),"█",""))</f>
        <v/>
      </c>
      <c r="K10" s="14">
        <f>IF(OR($A10="",$B10="",$C10=""),"",IF(AND(K$1&gt;=$B10,K$1&lt;=$C10),"█",""))</f>
        <v/>
      </c>
      <c r="L10" s="14">
        <f>IF(OR($A10="",$B10="",$C10=""),"",IF(AND(L$1&gt;=$B10,L$1&lt;=$C10),"█",""))</f>
        <v/>
      </c>
      <c r="M10" s="14">
        <f>IF(OR($A10="",$B10="",$C10=""),"",IF(AND(M$1&gt;=$B10,M$1&lt;=$C10),"█",""))</f>
        <v/>
      </c>
      <c r="N10" s="14">
        <f>IF(OR($A10="",$B10="",$C10=""),"",IF(AND(N$1&gt;=$B10,N$1&lt;=$C10),"█",""))</f>
        <v/>
      </c>
      <c r="O10" s="14">
        <f>IF(OR($A10="",$B10="",$C10=""),"",IF(AND(O$1&gt;=$B10,O$1&lt;=$C10),"█",""))</f>
        <v/>
      </c>
      <c r="P10" s="14">
        <f>IF(OR($A10="",$B10="",$C10=""),"",IF(AND(P$1&gt;=$B10,P$1&lt;=$C10),"█",""))</f>
        <v/>
      </c>
      <c r="Q10" s="14">
        <f>IF(OR($A10="",$B10="",$C10=""),"",IF(AND(Q$1&gt;=$B10,Q$1&lt;=$C10),"█",""))</f>
        <v/>
      </c>
      <c r="R10" s="14">
        <f>IF(OR($A10="",$B10="",$C10=""),"",IF(AND(R$1&gt;=$B10,R$1&lt;=$C10),"█",""))</f>
        <v/>
      </c>
      <c r="S10" s="14">
        <f>IF(OR($A10="",$B10="",$C10=""),"",IF(AND(S$1&gt;=$B10,S$1&lt;=$C10),"█",""))</f>
        <v/>
      </c>
    </row>
    <row r="11">
      <c r="A11" s="7">
        <f>IF(任务明细!B11="","",任务明细!B11)</f>
        <v/>
      </c>
      <c r="B11" s="13">
        <f>IF(任务明细!D11="","",任务明细!D11)</f>
        <v/>
      </c>
      <c r="C11" s="13">
        <f>IF(任务明细!E11="","",任务明细!E11)</f>
        <v/>
      </c>
      <c r="D11" s="14">
        <f>IF(OR($A11="",$B11="",$C11=""),"",IF(AND(D$1&gt;=$B11,D$1&lt;=$C11),"█",""))</f>
        <v/>
      </c>
      <c r="E11" s="14">
        <f>IF(OR($A11="",$B11="",$C11=""),"",IF(AND(E$1&gt;=$B11,E$1&lt;=$C11),"█",""))</f>
        <v/>
      </c>
      <c r="F11" s="14">
        <f>IF(OR($A11="",$B11="",$C11=""),"",IF(AND(F$1&gt;=$B11,F$1&lt;=$C11),"█",""))</f>
        <v/>
      </c>
      <c r="G11" s="14">
        <f>IF(OR($A11="",$B11="",$C11=""),"",IF(AND(G$1&gt;=$B11,G$1&lt;=$C11),"█",""))</f>
        <v/>
      </c>
      <c r="H11" s="14">
        <f>IF(OR($A11="",$B11="",$C11=""),"",IF(AND(H$1&gt;=$B11,H$1&lt;=$C11),"█",""))</f>
        <v/>
      </c>
      <c r="I11" s="14">
        <f>IF(OR($A11="",$B11="",$C11=""),"",IF(AND(I$1&gt;=$B11,I$1&lt;=$C11),"█",""))</f>
        <v/>
      </c>
      <c r="J11" s="14">
        <f>IF(OR($A11="",$B11="",$C11=""),"",IF(AND(J$1&gt;=$B11,J$1&lt;=$C11),"█",""))</f>
        <v/>
      </c>
      <c r="K11" s="14">
        <f>IF(OR($A11="",$B11="",$C11=""),"",IF(AND(K$1&gt;=$B11,K$1&lt;=$C11),"█",""))</f>
        <v/>
      </c>
      <c r="L11" s="14">
        <f>IF(OR($A11="",$B11="",$C11=""),"",IF(AND(L$1&gt;=$B11,L$1&lt;=$C11),"█",""))</f>
        <v/>
      </c>
      <c r="M11" s="14">
        <f>IF(OR($A11="",$B11="",$C11=""),"",IF(AND(M$1&gt;=$B11,M$1&lt;=$C11),"█",""))</f>
        <v/>
      </c>
      <c r="N11" s="14">
        <f>IF(OR($A11="",$B11="",$C11=""),"",IF(AND(N$1&gt;=$B11,N$1&lt;=$C11),"█",""))</f>
        <v/>
      </c>
      <c r="O11" s="14">
        <f>IF(OR($A11="",$B11="",$C11=""),"",IF(AND(O$1&gt;=$B11,O$1&lt;=$C11),"█",""))</f>
        <v/>
      </c>
      <c r="P11" s="14">
        <f>IF(OR($A11="",$B11="",$C11=""),"",IF(AND(P$1&gt;=$B11,P$1&lt;=$C11),"█",""))</f>
        <v/>
      </c>
      <c r="Q11" s="14">
        <f>IF(OR($A11="",$B11="",$C11=""),"",IF(AND(Q$1&gt;=$B11,Q$1&lt;=$C11),"█",""))</f>
        <v/>
      </c>
      <c r="R11" s="14">
        <f>IF(OR($A11="",$B11="",$C11=""),"",IF(AND(R$1&gt;=$B11,R$1&lt;=$C11),"█",""))</f>
        <v/>
      </c>
      <c r="S11" s="14">
        <f>IF(OR($A11="",$B11="",$C11=""),"",IF(AND(S$1&gt;=$B11,S$1&lt;=$C11),"█",""))</f>
        <v/>
      </c>
    </row>
    <row r="12">
      <c r="A12" s="7">
        <f>IF(任务明细!B12="","",任务明细!B12)</f>
        <v/>
      </c>
      <c r="B12" s="13">
        <f>IF(任务明细!D12="","",任务明细!D12)</f>
        <v/>
      </c>
      <c r="C12" s="13">
        <f>IF(任务明细!E12="","",任务明细!E12)</f>
        <v/>
      </c>
      <c r="D12" s="14">
        <f>IF(OR($A12="",$B12="",$C12=""),"",IF(AND(D$1&gt;=$B12,D$1&lt;=$C12),"█",""))</f>
        <v/>
      </c>
      <c r="E12" s="14">
        <f>IF(OR($A12="",$B12="",$C12=""),"",IF(AND(E$1&gt;=$B12,E$1&lt;=$C12),"█",""))</f>
        <v/>
      </c>
      <c r="F12" s="14">
        <f>IF(OR($A12="",$B12="",$C12=""),"",IF(AND(F$1&gt;=$B12,F$1&lt;=$C12),"█",""))</f>
        <v/>
      </c>
      <c r="G12" s="14">
        <f>IF(OR($A12="",$B12="",$C12=""),"",IF(AND(G$1&gt;=$B12,G$1&lt;=$C12),"█",""))</f>
        <v/>
      </c>
      <c r="H12" s="14">
        <f>IF(OR($A12="",$B12="",$C12=""),"",IF(AND(H$1&gt;=$B12,H$1&lt;=$C12),"█",""))</f>
        <v/>
      </c>
      <c r="I12" s="14">
        <f>IF(OR($A12="",$B12="",$C12=""),"",IF(AND(I$1&gt;=$B12,I$1&lt;=$C12),"█",""))</f>
        <v/>
      </c>
      <c r="J12" s="14">
        <f>IF(OR($A12="",$B12="",$C12=""),"",IF(AND(J$1&gt;=$B12,J$1&lt;=$C12),"█",""))</f>
        <v/>
      </c>
      <c r="K12" s="14">
        <f>IF(OR($A12="",$B12="",$C12=""),"",IF(AND(K$1&gt;=$B12,K$1&lt;=$C12),"█",""))</f>
        <v/>
      </c>
      <c r="L12" s="14">
        <f>IF(OR($A12="",$B12="",$C12=""),"",IF(AND(L$1&gt;=$B12,L$1&lt;=$C12),"█",""))</f>
        <v/>
      </c>
      <c r="M12" s="14">
        <f>IF(OR($A12="",$B12="",$C12=""),"",IF(AND(M$1&gt;=$B12,M$1&lt;=$C12),"█",""))</f>
        <v/>
      </c>
      <c r="N12" s="14">
        <f>IF(OR($A12="",$B12="",$C12=""),"",IF(AND(N$1&gt;=$B12,N$1&lt;=$C12),"█",""))</f>
        <v/>
      </c>
      <c r="O12" s="14">
        <f>IF(OR($A12="",$B12="",$C12=""),"",IF(AND(O$1&gt;=$B12,O$1&lt;=$C12),"█",""))</f>
        <v/>
      </c>
      <c r="P12" s="14">
        <f>IF(OR($A12="",$B12="",$C12=""),"",IF(AND(P$1&gt;=$B12,P$1&lt;=$C12),"█",""))</f>
        <v/>
      </c>
      <c r="Q12" s="14">
        <f>IF(OR($A12="",$B12="",$C12=""),"",IF(AND(Q$1&gt;=$B12,Q$1&lt;=$C12),"█",""))</f>
        <v/>
      </c>
      <c r="R12" s="14">
        <f>IF(OR($A12="",$B12="",$C12=""),"",IF(AND(R$1&gt;=$B12,R$1&lt;=$C12),"█",""))</f>
        <v/>
      </c>
      <c r="S12" s="14">
        <f>IF(OR($A12="",$B12="",$C12=""),"",IF(AND(S$1&gt;=$B12,S$1&lt;=$C12),"█",""))</f>
        <v/>
      </c>
    </row>
    <row r="13">
      <c r="A13" s="7">
        <f>IF(任务明细!B13="","",任务明细!B13)</f>
        <v/>
      </c>
      <c r="B13" s="13">
        <f>IF(任务明细!D13="","",任务明细!D13)</f>
        <v/>
      </c>
      <c r="C13" s="13">
        <f>IF(任务明细!E13="","",任务明细!E13)</f>
        <v/>
      </c>
      <c r="D13" s="14">
        <f>IF(OR($A13="",$B13="",$C13=""),"",IF(AND(D$1&gt;=$B13,D$1&lt;=$C13),"█",""))</f>
        <v/>
      </c>
      <c r="E13" s="14">
        <f>IF(OR($A13="",$B13="",$C13=""),"",IF(AND(E$1&gt;=$B13,E$1&lt;=$C13),"█",""))</f>
        <v/>
      </c>
      <c r="F13" s="14">
        <f>IF(OR($A13="",$B13="",$C13=""),"",IF(AND(F$1&gt;=$B13,F$1&lt;=$C13),"█",""))</f>
        <v/>
      </c>
      <c r="G13" s="14">
        <f>IF(OR($A13="",$B13="",$C13=""),"",IF(AND(G$1&gt;=$B13,G$1&lt;=$C13),"█",""))</f>
        <v/>
      </c>
      <c r="H13" s="14">
        <f>IF(OR($A13="",$B13="",$C13=""),"",IF(AND(H$1&gt;=$B13,H$1&lt;=$C13),"█",""))</f>
        <v/>
      </c>
      <c r="I13" s="14">
        <f>IF(OR($A13="",$B13="",$C13=""),"",IF(AND(I$1&gt;=$B13,I$1&lt;=$C13),"█",""))</f>
        <v/>
      </c>
      <c r="J13" s="14">
        <f>IF(OR($A13="",$B13="",$C13=""),"",IF(AND(J$1&gt;=$B13,J$1&lt;=$C13),"█",""))</f>
        <v/>
      </c>
      <c r="K13" s="14">
        <f>IF(OR($A13="",$B13="",$C13=""),"",IF(AND(K$1&gt;=$B13,K$1&lt;=$C13),"█",""))</f>
        <v/>
      </c>
      <c r="L13" s="14">
        <f>IF(OR($A13="",$B13="",$C13=""),"",IF(AND(L$1&gt;=$B13,L$1&lt;=$C13),"█",""))</f>
        <v/>
      </c>
      <c r="M13" s="14">
        <f>IF(OR($A13="",$B13="",$C13=""),"",IF(AND(M$1&gt;=$B13,M$1&lt;=$C13),"█",""))</f>
        <v/>
      </c>
      <c r="N13" s="14">
        <f>IF(OR($A13="",$B13="",$C13=""),"",IF(AND(N$1&gt;=$B13,N$1&lt;=$C13),"█",""))</f>
        <v/>
      </c>
      <c r="O13" s="14">
        <f>IF(OR($A13="",$B13="",$C13=""),"",IF(AND(O$1&gt;=$B13,O$1&lt;=$C13),"█",""))</f>
        <v/>
      </c>
      <c r="P13" s="14">
        <f>IF(OR($A13="",$B13="",$C13=""),"",IF(AND(P$1&gt;=$B13,P$1&lt;=$C13),"█",""))</f>
        <v/>
      </c>
      <c r="Q13" s="14">
        <f>IF(OR($A13="",$B13="",$C13=""),"",IF(AND(Q$1&gt;=$B13,Q$1&lt;=$C13),"█",""))</f>
        <v/>
      </c>
      <c r="R13" s="14">
        <f>IF(OR($A13="",$B13="",$C13=""),"",IF(AND(R$1&gt;=$B13,R$1&lt;=$C13),"█",""))</f>
        <v/>
      </c>
      <c r="S13" s="14">
        <f>IF(OR($A13="",$B13="",$C13=""),"",IF(AND(S$1&gt;=$B13,S$1&lt;=$C13),"█",""))</f>
        <v/>
      </c>
    </row>
    <row r="14">
      <c r="A14" s="7">
        <f>IF(任务明细!B14="","",任务明细!B14)</f>
        <v/>
      </c>
      <c r="B14" s="13">
        <f>IF(任务明细!D14="","",任务明细!D14)</f>
        <v/>
      </c>
      <c r="C14" s="13">
        <f>IF(任务明细!E14="","",任务明细!E14)</f>
        <v/>
      </c>
      <c r="D14" s="14">
        <f>IF(OR($A14="",$B14="",$C14=""),"",IF(AND(D$1&gt;=$B14,D$1&lt;=$C14),"█",""))</f>
        <v/>
      </c>
      <c r="E14" s="14">
        <f>IF(OR($A14="",$B14="",$C14=""),"",IF(AND(E$1&gt;=$B14,E$1&lt;=$C14),"█",""))</f>
        <v/>
      </c>
      <c r="F14" s="14">
        <f>IF(OR($A14="",$B14="",$C14=""),"",IF(AND(F$1&gt;=$B14,F$1&lt;=$C14),"█",""))</f>
        <v/>
      </c>
      <c r="G14" s="14">
        <f>IF(OR($A14="",$B14="",$C14=""),"",IF(AND(G$1&gt;=$B14,G$1&lt;=$C14),"█",""))</f>
        <v/>
      </c>
      <c r="H14" s="14">
        <f>IF(OR($A14="",$B14="",$C14=""),"",IF(AND(H$1&gt;=$B14,H$1&lt;=$C14),"█",""))</f>
        <v/>
      </c>
      <c r="I14" s="14">
        <f>IF(OR($A14="",$B14="",$C14=""),"",IF(AND(I$1&gt;=$B14,I$1&lt;=$C14),"█",""))</f>
        <v/>
      </c>
      <c r="J14" s="14">
        <f>IF(OR($A14="",$B14="",$C14=""),"",IF(AND(J$1&gt;=$B14,J$1&lt;=$C14),"█",""))</f>
        <v/>
      </c>
      <c r="K14" s="14">
        <f>IF(OR($A14="",$B14="",$C14=""),"",IF(AND(K$1&gt;=$B14,K$1&lt;=$C14),"█",""))</f>
        <v/>
      </c>
      <c r="L14" s="14">
        <f>IF(OR($A14="",$B14="",$C14=""),"",IF(AND(L$1&gt;=$B14,L$1&lt;=$C14),"█",""))</f>
        <v/>
      </c>
      <c r="M14" s="14">
        <f>IF(OR($A14="",$B14="",$C14=""),"",IF(AND(M$1&gt;=$B14,M$1&lt;=$C14),"█",""))</f>
        <v/>
      </c>
      <c r="N14" s="14">
        <f>IF(OR($A14="",$B14="",$C14=""),"",IF(AND(N$1&gt;=$B14,N$1&lt;=$C14),"█",""))</f>
        <v/>
      </c>
      <c r="O14" s="14">
        <f>IF(OR($A14="",$B14="",$C14=""),"",IF(AND(O$1&gt;=$B14,O$1&lt;=$C14),"█",""))</f>
        <v/>
      </c>
      <c r="P14" s="14">
        <f>IF(OR($A14="",$B14="",$C14=""),"",IF(AND(P$1&gt;=$B14,P$1&lt;=$C14),"█",""))</f>
        <v/>
      </c>
      <c r="Q14" s="14">
        <f>IF(OR($A14="",$B14="",$C14=""),"",IF(AND(Q$1&gt;=$B14,Q$1&lt;=$C14),"█",""))</f>
        <v/>
      </c>
      <c r="R14" s="14">
        <f>IF(OR($A14="",$B14="",$C14=""),"",IF(AND(R$1&gt;=$B14,R$1&lt;=$C14),"█",""))</f>
        <v/>
      </c>
      <c r="S14" s="14">
        <f>IF(OR($A14="",$B14="",$C14=""),"",IF(AND(S$1&gt;=$B14,S$1&lt;=$C14),"█",""))</f>
        <v/>
      </c>
    </row>
    <row r="15">
      <c r="A15" s="7">
        <f>IF(任务明细!B15="","",任务明细!B15)</f>
        <v/>
      </c>
      <c r="B15" s="13">
        <f>IF(任务明细!D15="","",任务明细!D15)</f>
        <v/>
      </c>
      <c r="C15" s="13">
        <f>IF(任务明细!E15="","",任务明细!E15)</f>
        <v/>
      </c>
      <c r="D15" s="14">
        <f>IF(OR($A15="",$B15="",$C15=""),"",IF(AND(D$1&gt;=$B15,D$1&lt;=$C15),"█",""))</f>
        <v/>
      </c>
      <c r="E15" s="14">
        <f>IF(OR($A15="",$B15="",$C15=""),"",IF(AND(E$1&gt;=$B15,E$1&lt;=$C15),"█",""))</f>
        <v/>
      </c>
      <c r="F15" s="14">
        <f>IF(OR($A15="",$B15="",$C15=""),"",IF(AND(F$1&gt;=$B15,F$1&lt;=$C15),"█",""))</f>
        <v/>
      </c>
      <c r="G15" s="14">
        <f>IF(OR($A15="",$B15="",$C15=""),"",IF(AND(G$1&gt;=$B15,G$1&lt;=$C15),"█",""))</f>
        <v/>
      </c>
      <c r="H15" s="14">
        <f>IF(OR($A15="",$B15="",$C15=""),"",IF(AND(H$1&gt;=$B15,H$1&lt;=$C15),"█",""))</f>
        <v/>
      </c>
      <c r="I15" s="14">
        <f>IF(OR($A15="",$B15="",$C15=""),"",IF(AND(I$1&gt;=$B15,I$1&lt;=$C15),"█",""))</f>
        <v/>
      </c>
      <c r="J15" s="14">
        <f>IF(OR($A15="",$B15="",$C15=""),"",IF(AND(J$1&gt;=$B15,J$1&lt;=$C15),"█",""))</f>
        <v/>
      </c>
      <c r="K15" s="14">
        <f>IF(OR($A15="",$B15="",$C15=""),"",IF(AND(K$1&gt;=$B15,K$1&lt;=$C15),"█",""))</f>
        <v/>
      </c>
      <c r="L15" s="14">
        <f>IF(OR($A15="",$B15="",$C15=""),"",IF(AND(L$1&gt;=$B15,L$1&lt;=$C15),"█",""))</f>
        <v/>
      </c>
      <c r="M15" s="14">
        <f>IF(OR($A15="",$B15="",$C15=""),"",IF(AND(M$1&gt;=$B15,M$1&lt;=$C15),"█",""))</f>
        <v/>
      </c>
      <c r="N15" s="14">
        <f>IF(OR($A15="",$B15="",$C15=""),"",IF(AND(N$1&gt;=$B15,N$1&lt;=$C15),"█",""))</f>
        <v/>
      </c>
      <c r="O15" s="14">
        <f>IF(OR($A15="",$B15="",$C15=""),"",IF(AND(O$1&gt;=$B15,O$1&lt;=$C15),"█",""))</f>
        <v/>
      </c>
      <c r="P15" s="14">
        <f>IF(OR($A15="",$B15="",$C15=""),"",IF(AND(P$1&gt;=$B15,P$1&lt;=$C15),"█",""))</f>
        <v/>
      </c>
      <c r="Q15" s="14">
        <f>IF(OR($A15="",$B15="",$C15=""),"",IF(AND(Q$1&gt;=$B15,Q$1&lt;=$C15),"█",""))</f>
        <v/>
      </c>
      <c r="R15" s="14">
        <f>IF(OR($A15="",$B15="",$C15=""),"",IF(AND(R$1&gt;=$B15,R$1&lt;=$C15),"█",""))</f>
        <v/>
      </c>
      <c r="S15" s="14">
        <f>IF(OR($A15="",$B15="",$C15=""),"",IF(AND(S$1&gt;=$B15,S$1&lt;=$C15),"█",""))</f>
        <v/>
      </c>
    </row>
    <row r="16">
      <c r="A16" s="7">
        <f>IF(任务明细!B16="","",任务明细!B16)</f>
        <v/>
      </c>
      <c r="B16" s="13">
        <f>IF(任务明细!D16="","",任务明细!D16)</f>
        <v/>
      </c>
      <c r="C16" s="13">
        <f>IF(任务明细!E16="","",任务明细!E16)</f>
        <v/>
      </c>
      <c r="D16" s="14">
        <f>IF(OR($A16="",$B16="",$C16=""),"",IF(AND(D$1&gt;=$B16,D$1&lt;=$C16),"█",""))</f>
        <v/>
      </c>
      <c r="E16" s="14">
        <f>IF(OR($A16="",$B16="",$C16=""),"",IF(AND(E$1&gt;=$B16,E$1&lt;=$C16),"█",""))</f>
        <v/>
      </c>
      <c r="F16" s="14">
        <f>IF(OR($A16="",$B16="",$C16=""),"",IF(AND(F$1&gt;=$B16,F$1&lt;=$C16),"█",""))</f>
        <v/>
      </c>
      <c r="G16" s="14">
        <f>IF(OR($A16="",$B16="",$C16=""),"",IF(AND(G$1&gt;=$B16,G$1&lt;=$C16),"█",""))</f>
        <v/>
      </c>
      <c r="H16" s="14">
        <f>IF(OR($A16="",$B16="",$C16=""),"",IF(AND(H$1&gt;=$B16,H$1&lt;=$C16),"█",""))</f>
        <v/>
      </c>
      <c r="I16" s="14">
        <f>IF(OR($A16="",$B16="",$C16=""),"",IF(AND(I$1&gt;=$B16,I$1&lt;=$C16),"█",""))</f>
        <v/>
      </c>
      <c r="J16" s="14">
        <f>IF(OR($A16="",$B16="",$C16=""),"",IF(AND(J$1&gt;=$B16,J$1&lt;=$C16),"█",""))</f>
        <v/>
      </c>
      <c r="K16" s="14">
        <f>IF(OR($A16="",$B16="",$C16=""),"",IF(AND(K$1&gt;=$B16,K$1&lt;=$C16),"█",""))</f>
        <v/>
      </c>
      <c r="L16" s="14">
        <f>IF(OR($A16="",$B16="",$C16=""),"",IF(AND(L$1&gt;=$B16,L$1&lt;=$C16),"█",""))</f>
        <v/>
      </c>
      <c r="M16" s="14">
        <f>IF(OR($A16="",$B16="",$C16=""),"",IF(AND(M$1&gt;=$B16,M$1&lt;=$C16),"█",""))</f>
        <v/>
      </c>
      <c r="N16" s="14">
        <f>IF(OR($A16="",$B16="",$C16=""),"",IF(AND(N$1&gt;=$B16,N$1&lt;=$C16),"█",""))</f>
        <v/>
      </c>
      <c r="O16" s="14">
        <f>IF(OR($A16="",$B16="",$C16=""),"",IF(AND(O$1&gt;=$B16,O$1&lt;=$C16),"█",""))</f>
        <v/>
      </c>
      <c r="P16" s="14">
        <f>IF(OR($A16="",$B16="",$C16=""),"",IF(AND(P$1&gt;=$B16,P$1&lt;=$C16),"█",""))</f>
        <v/>
      </c>
      <c r="Q16" s="14">
        <f>IF(OR($A16="",$B16="",$C16=""),"",IF(AND(Q$1&gt;=$B16,Q$1&lt;=$C16),"█",""))</f>
        <v/>
      </c>
      <c r="R16" s="14">
        <f>IF(OR($A16="",$B16="",$C16=""),"",IF(AND(R$1&gt;=$B16,R$1&lt;=$C16),"█",""))</f>
        <v/>
      </c>
      <c r="S16" s="14">
        <f>IF(OR($A16="",$B16="",$C16=""),"",IF(AND(S$1&gt;=$B16,S$1&lt;=$C16),"█",""))</f>
        <v/>
      </c>
    </row>
    <row r="17">
      <c r="A17" s="7">
        <f>IF(任务明细!B17="","",任务明细!B17)</f>
        <v/>
      </c>
      <c r="B17" s="13">
        <f>IF(任务明细!D17="","",任务明细!D17)</f>
        <v/>
      </c>
      <c r="C17" s="13">
        <f>IF(任务明细!E17="","",任务明细!E17)</f>
        <v/>
      </c>
      <c r="D17" s="14">
        <f>IF(OR($A17="",$B17="",$C17=""),"",IF(AND(D$1&gt;=$B17,D$1&lt;=$C17),"█",""))</f>
        <v/>
      </c>
      <c r="E17" s="14">
        <f>IF(OR($A17="",$B17="",$C17=""),"",IF(AND(E$1&gt;=$B17,E$1&lt;=$C17),"█",""))</f>
        <v/>
      </c>
      <c r="F17" s="14">
        <f>IF(OR($A17="",$B17="",$C17=""),"",IF(AND(F$1&gt;=$B17,F$1&lt;=$C17),"█",""))</f>
        <v/>
      </c>
      <c r="G17" s="14">
        <f>IF(OR($A17="",$B17="",$C17=""),"",IF(AND(G$1&gt;=$B17,G$1&lt;=$C17),"█",""))</f>
        <v/>
      </c>
      <c r="H17" s="14">
        <f>IF(OR($A17="",$B17="",$C17=""),"",IF(AND(H$1&gt;=$B17,H$1&lt;=$C17),"█",""))</f>
        <v/>
      </c>
      <c r="I17" s="14">
        <f>IF(OR($A17="",$B17="",$C17=""),"",IF(AND(I$1&gt;=$B17,I$1&lt;=$C17),"█",""))</f>
        <v/>
      </c>
      <c r="J17" s="14">
        <f>IF(OR($A17="",$B17="",$C17=""),"",IF(AND(J$1&gt;=$B17,J$1&lt;=$C17),"█",""))</f>
        <v/>
      </c>
      <c r="K17" s="14">
        <f>IF(OR($A17="",$B17="",$C17=""),"",IF(AND(K$1&gt;=$B17,K$1&lt;=$C17),"█",""))</f>
        <v/>
      </c>
      <c r="L17" s="14">
        <f>IF(OR($A17="",$B17="",$C17=""),"",IF(AND(L$1&gt;=$B17,L$1&lt;=$C17),"█",""))</f>
        <v/>
      </c>
      <c r="M17" s="14">
        <f>IF(OR($A17="",$B17="",$C17=""),"",IF(AND(M$1&gt;=$B17,M$1&lt;=$C17),"█",""))</f>
        <v/>
      </c>
      <c r="N17" s="14">
        <f>IF(OR($A17="",$B17="",$C17=""),"",IF(AND(N$1&gt;=$B17,N$1&lt;=$C17),"█",""))</f>
        <v/>
      </c>
      <c r="O17" s="14">
        <f>IF(OR($A17="",$B17="",$C17=""),"",IF(AND(O$1&gt;=$B17,O$1&lt;=$C17),"█",""))</f>
        <v/>
      </c>
      <c r="P17" s="14">
        <f>IF(OR($A17="",$B17="",$C17=""),"",IF(AND(P$1&gt;=$B17,P$1&lt;=$C17),"█",""))</f>
        <v/>
      </c>
      <c r="Q17" s="14">
        <f>IF(OR($A17="",$B17="",$C17=""),"",IF(AND(Q$1&gt;=$B17,Q$1&lt;=$C17),"█",""))</f>
        <v/>
      </c>
      <c r="R17" s="14">
        <f>IF(OR($A17="",$B17="",$C17=""),"",IF(AND(R$1&gt;=$B17,R$1&lt;=$C17),"█",""))</f>
        <v/>
      </c>
      <c r="S17" s="14">
        <f>IF(OR($A17="",$B17="",$C17=""),"",IF(AND(S$1&gt;=$B17,S$1&lt;=$C17),"█",""))</f>
        <v/>
      </c>
    </row>
    <row r="18">
      <c r="A18" s="7">
        <f>IF(任务明细!B18="","",任务明细!B18)</f>
        <v/>
      </c>
      <c r="B18" s="13">
        <f>IF(任务明细!D18="","",任务明细!D18)</f>
        <v/>
      </c>
      <c r="C18" s="13">
        <f>IF(任务明细!E18="","",任务明细!E18)</f>
        <v/>
      </c>
      <c r="D18" s="14">
        <f>IF(OR($A18="",$B18="",$C18=""),"",IF(AND(D$1&gt;=$B18,D$1&lt;=$C18),"█",""))</f>
        <v/>
      </c>
      <c r="E18" s="14">
        <f>IF(OR($A18="",$B18="",$C18=""),"",IF(AND(E$1&gt;=$B18,E$1&lt;=$C18),"█",""))</f>
        <v/>
      </c>
      <c r="F18" s="14">
        <f>IF(OR($A18="",$B18="",$C18=""),"",IF(AND(F$1&gt;=$B18,F$1&lt;=$C18),"█",""))</f>
        <v/>
      </c>
      <c r="G18" s="14">
        <f>IF(OR($A18="",$B18="",$C18=""),"",IF(AND(G$1&gt;=$B18,G$1&lt;=$C18),"█",""))</f>
        <v/>
      </c>
      <c r="H18" s="14">
        <f>IF(OR($A18="",$B18="",$C18=""),"",IF(AND(H$1&gt;=$B18,H$1&lt;=$C18),"█",""))</f>
        <v/>
      </c>
      <c r="I18" s="14">
        <f>IF(OR($A18="",$B18="",$C18=""),"",IF(AND(I$1&gt;=$B18,I$1&lt;=$C18),"█",""))</f>
        <v/>
      </c>
      <c r="J18" s="14">
        <f>IF(OR($A18="",$B18="",$C18=""),"",IF(AND(J$1&gt;=$B18,J$1&lt;=$C18),"█",""))</f>
        <v/>
      </c>
      <c r="K18" s="14">
        <f>IF(OR($A18="",$B18="",$C18=""),"",IF(AND(K$1&gt;=$B18,K$1&lt;=$C18),"█",""))</f>
        <v/>
      </c>
      <c r="L18" s="14">
        <f>IF(OR($A18="",$B18="",$C18=""),"",IF(AND(L$1&gt;=$B18,L$1&lt;=$C18),"█",""))</f>
        <v/>
      </c>
      <c r="M18" s="14">
        <f>IF(OR($A18="",$B18="",$C18=""),"",IF(AND(M$1&gt;=$B18,M$1&lt;=$C18),"█",""))</f>
        <v/>
      </c>
      <c r="N18" s="14">
        <f>IF(OR($A18="",$B18="",$C18=""),"",IF(AND(N$1&gt;=$B18,N$1&lt;=$C18),"█",""))</f>
        <v/>
      </c>
      <c r="O18" s="14">
        <f>IF(OR($A18="",$B18="",$C18=""),"",IF(AND(O$1&gt;=$B18,O$1&lt;=$C18),"█",""))</f>
        <v/>
      </c>
      <c r="P18" s="14">
        <f>IF(OR($A18="",$B18="",$C18=""),"",IF(AND(P$1&gt;=$B18,P$1&lt;=$C18),"█",""))</f>
        <v/>
      </c>
      <c r="Q18" s="14">
        <f>IF(OR($A18="",$B18="",$C18=""),"",IF(AND(Q$1&gt;=$B18,Q$1&lt;=$C18),"█",""))</f>
        <v/>
      </c>
      <c r="R18" s="14">
        <f>IF(OR($A18="",$B18="",$C18=""),"",IF(AND(R$1&gt;=$B18,R$1&lt;=$C18),"█",""))</f>
        <v/>
      </c>
      <c r="S18" s="14">
        <f>IF(OR($A18="",$B18="",$C18=""),"",IF(AND(S$1&gt;=$B18,S$1&lt;=$C18),"█",""))</f>
        <v/>
      </c>
    </row>
    <row r="19">
      <c r="A19" s="7">
        <f>IF(任务明细!B19="","",任务明细!B19)</f>
        <v/>
      </c>
      <c r="B19" s="13">
        <f>IF(任务明细!D19="","",任务明细!D19)</f>
        <v/>
      </c>
      <c r="C19" s="13">
        <f>IF(任务明细!E19="","",任务明细!E19)</f>
        <v/>
      </c>
      <c r="D19" s="14">
        <f>IF(OR($A19="",$B19="",$C19=""),"",IF(AND(D$1&gt;=$B19,D$1&lt;=$C19),"█",""))</f>
        <v/>
      </c>
      <c r="E19" s="14">
        <f>IF(OR($A19="",$B19="",$C19=""),"",IF(AND(E$1&gt;=$B19,E$1&lt;=$C19),"█",""))</f>
        <v/>
      </c>
      <c r="F19" s="14">
        <f>IF(OR($A19="",$B19="",$C19=""),"",IF(AND(F$1&gt;=$B19,F$1&lt;=$C19),"█",""))</f>
        <v/>
      </c>
      <c r="G19" s="14">
        <f>IF(OR($A19="",$B19="",$C19=""),"",IF(AND(G$1&gt;=$B19,G$1&lt;=$C19),"█",""))</f>
        <v/>
      </c>
      <c r="H19" s="14">
        <f>IF(OR($A19="",$B19="",$C19=""),"",IF(AND(H$1&gt;=$B19,H$1&lt;=$C19),"█",""))</f>
        <v/>
      </c>
      <c r="I19" s="14">
        <f>IF(OR($A19="",$B19="",$C19=""),"",IF(AND(I$1&gt;=$B19,I$1&lt;=$C19),"█",""))</f>
        <v/>
      </c>
      <c r="J19" s="14">
        <f>IF(OR($A19="",$B19="",$C19=""),"",IF(AND(J$1&gt;=$B19,J$1&lt;=$C19),"█",""))</f>
        <v/>
      </c>
      <c r="K19" s="14">
        <f>IF(OR($A19="",$B19="",$C19=""),"",IF(AND(K$1&gt;=$B19,K$1&lt;=$C19),"█",""))</f>
        <v/>
      </c>
      <c r="L19" s="14">
        <f>IF(OR($A19="",$B19="",$C19=""),"",IF(AND(L$1&gt;=$B19,L$1&lt;=$C19),"█",""))</f>
        <v/>
      </c>
      <c r="M19" s="14">
        <f>IF(OR($A19="",$B19="",$C19=""),"",IF(AND(M$1&gt;=$B19,M$1&lt;=$C19),"█",""))</f>
        <v/>
      </c>
      <c r="N19" s="14">
        <f>IF(OR($A19="",$B19="",$C19=""),"",IF(AND(N$1&gt;=$B19,N$1&lt;=$C19),"█",""))</f>
        <v/>
      </c>
      <c r="O19" s="14">
        <f>IF(OR($A19="",$B19="",$C19=""),"",IF(AND(O$1&gt;=$B19,O$1&lt;=$C19),"█",""))</f>
        <v/>
      </c>
      <c r="P19" s="14">
        <f>IF(OR($A19="",$B19="",$C19=""),"",IF(AND(P$1&gt;=$B19,P$1&lt;=$C19),"█",""))</f>
        <v/>
      </c>
      <c r="Q19" s="14">
        <f>IF(OR($A19="",$B19="",$C19=""),"",IF(AND(Q$1&gt;=$B19,Q$1&lt;=$C19),"█",""))</f>
        <v/>
      </c>
      <c r="R19" s="14">
        <f>IF(OR($A19="",$B19="",$C19=""),"",IF(AND(R$1&gt;=$B19,R$1&lt;=$C19),"█",""))</f>
        <v/>
      </c>
      <c r="S19" s="14">
        <f>IF(OR($A19="",$B19="",$C19=""),"",IF(AND(S$1&gt;=$B19,S$1&lt;=$C19),"█",""))</f>
        <v/>
      </c>
    </row>
    <row r="20">
      <c r="A20" s="7">
        <f>IF(任务明细!B20="","",任务明细!B20)</f>
        <v/>
      </c>
      <c r="B20" s="13">
        <f>IF(任务明细!D20="","",任务明细!D20)</f>
        <v/>
      </c>
      <c r="C20" s="13">
        <f>IF(任务明细!E20="","",任务明细!E20)</f>
        <v/>
      </c>
      <c r="D20" s="14">
        <f>IF(OR($A20="",$B20="",$C20=""),"",IF(AND(D$1&gt;=$B20,D$1&lt;=$C20),"█",""))</f>
        <v/>
      </c>
      <c r="E20" s="14">
        <f>IF(OR($A20="",$B20="",$C20=""),"",IF(AND(E$1&gt;=$B20,E$1&lt;=$C20),"█",""))</f>
        <v/>
      </c>
      <c r="F20" s="14">
        <f>IF(OR($A20="",$B20="",$C20=""),"",IF(AND(F$1&gt;=$B20,F$1&lt;=$C20),"█",""))</f>
        <v/>
      </c>
      <c r="G20" s="14">
        <f>IF(OR($A20="",$B20="",$C20=""),"",IF(AND(G$1&gt;=$B20,G$1&lt;=$C20),"█",""))</f>
        <v/>
      </c>
      <c r="H20" s="14">
        <f>IF(OR($A20="",$B20="",$C20=""),"",IF(AND(H$1&gt;=$B20,H$1&lt;=$C20),"█",""))</f>
        <v/>
      </c>
      <c r="I20" s="14">
        <f>IF(OR($A20="",$B20="",$C20=""),"",IF(AND(I$1&gt;=$B20,I$1&lt;=$C20),"█",""))</f>
        <v/>
      </c>
      <c r="J20" s="14">
        <f>IF(OR($A20="",$B20="",$C20=""),"",IF(AND(J$1&gt;=$B20,J$1&lt;=$C20),"█",""))</f>
        <v/>
      </c>
      <c r="K20" s="14">
        <f>IF(OR($A20="",$B20="",$C20=""),"",IF(AND(K$1&gt;=$B20,K$1&lt;=$C20),"█",""))</f>
        <v/>
      </c>
      <c r="L20" s="14">
        <f>IF(OR($A20="",$B20="",$C20=""),"",IF(AND(L$1&gt;=$B20,L$1&lt;=$C20),"█",""))</f>
        <v/>
      </c>
      <c r="M20" s="14">
        <f>IF(OR($A20="",$B20="",$C20=""),"",IF(AND(M$1&gt;=$B20,M$1&lt;=$C20),"█",""))</f>
        <v/>
      </c>
      <c r="N20" s="14">
        <f>IF(OR($A20="",$B20="",$C20=""),"",IF(AND(N$1&gt;=$B20,N$1&lt;=$C20),"█",""))</f>
        <v/>
      </c>
      <c r="O20" s="14">
        <f>IF(OR($A20="",$B20="",$C20=""),"",IF(AND(O$1&gt;=$B20,O$1&lt;=$C20),"█",""))</f>
        <v/>
      </c>
      <c r="P20" s="14">
        <f>IF(OR($A20="",$B20="",$C20=""),"",IF(AND(P$1&gt;=$B20,P$1&lt;=$C20),"█",""))</f>
        <v/>
      </c>
      <c r="Q20" s="14">
        <f>IF(OR($A20="",$B20="",$C20=""),"",IF(AND(Q$1&gt;=$B20,Q$1&lt;=$C20),"█",""))</f>
        <v/>
      </c>
      <c r="R20" s="14">
        <f>IF(OR($A20="",$B20="",$C20=""),"",IF(AND(R$1&gt;=$B20,R$1&lt;=$C20),"█",""))</f>
        <v/>
      </c>
      <c r="S20" s="14">
        <f>IF(OR($A20="",$B20="",$C20=""),"",IF(AND(S$1&gt;=$B20,S$1&lt;=$C20),"█",""))</f>
        <v/>
      </c>
    </row>
    <row r="21">
      <c r="A21" s="7">
        <f>IF(任务明细!B21="","",任务明细!B21)</f>
        <v/>
      </c>
      <c r="B21" s="13">
        <f>IF(任务明细!D21="","",任务明细!D21)</f>
        <v/>
      </c>
      <c r="C21" s="13">
        <f>IF(任务明细!E21="","",任务明细!E21)</f>
        <v/>
      </c>
      <c r="D21" s="14">
        <f>IF(OR($A21="",$B21="",$C21=""),"",IF(AND(D$1&gt;=$B21,D$1&lt;=$C21),"█",""))</f>
        <v/>
      </c>
      <c r="E21" s="14">
        <f>IF(OR($A21="",$B21="",$C21=""),"",IF(AND(E$1&gt;=$B21,E$1&lt;=$C21),"█",""))</f>
        <v/>
      </c>
      <c r="F21" s="14">
        <f>IF(OR($A21="",$B21="",$C21=""),"",IF(AND(F$1&gt;=$B21,F$1&lt;=$C21),"█",""))</f>
        <v/>
      </c>
      <c r="G21" s="14">
        <f>IF(OR($A21="",$B21="",$C21=""),"",IF(AND(G$1&gt;=$B21,G$1&lt;=$C21),"█",""))</f>
        <v/>
      </c>
      <c r="H21" s="14">
        <f>IF(OR($A21="",$B21="",$C21=""),"",IF(AND(H$1&gt;=$B21,H$1&lt;=$C21),"█",""))</f>
        <v/>
      </c>
      <c r="I21" s="14">
        <f>IF(OR($A21="",$B21="",$C21=""),"",IF(AND(I$1&gt;=$B21,I$1&lt;=$C21),"█",""))</f>
        <v/>
      </c>
      <c r="J21" s="14">
        <f>IF(OR($A21="",$B21="",$C21=""),"",IF(AND(J$1&gt;=$B21,J$1&lt;=$C21),"█",""))</f>
        <v/>
      </c>
      <c r="K21" s="14">
        <f>IF(OR($A21="",$B21="",$C21=""),"",IF(AND(K$1&gt;=$B21,K$1&lt;=$C21),"█",""))</f>
        <v/>
      </c>
      <c r="L21" s="14">
        <f>IF(OR($A21="",$B21="",$C21=""),"",IF(AND(L$1&gt;=$B21,L$1&lt;=$C21),"█",""))</f>
        <v/>
      </c>
      <c r="M21" s="14">
        <f>IF(OR($A21="",$B21="",$C21=""),"",IF(AND(M$1&gt;=$B21,M$1&lt;=$C21),"█",""))</f>
        <v/>
      </c>
      <c r="N21" s="14">
        <f>IF(OR($A21="",$B21="",$C21=""),"",IF(AND(N$1&gt;=$B21,N$1&lt;=$C21),"█",""))</f>
        <v/>
      </c>
      <c r="O21" s="14">
        <f>IF(OR($A21="",$B21="",$C21=""),"",IF(AND(O$1&gt;=$B21,O$1&lt;=$C21),"█",""))</f>
        <v/>
      </c>
      <c r="P21" s="14">
        <f>IF(OR($A21="",$B21="",$C21=""),"",IF(AND(P$1&gt;=$B21,P$1&lt;=$C21),"█",""))</f>
        <v/>
      </c>
      <c r="Q21" s="14">
        <f>IF(OR($A21="",$B21="",$C21=""),"",IF(AND(Q$1&gt;=$B21,Q$1&lt;=$C21),"█",""))</f>
        <v/>
      </c>
      <c r="R21" s="14">
        <f>IF(OR($A21="",$B21="",$C21=""),"",IF(AND(R$1&gt;=$B21,R$1&lt;=$C21),"█",""))</f>
        <v/>
      </c>
      <c r="S21" s="14">
        <f>IF(OR($A21="",$B21="",$C21=""),"",IF(AND(S$1&gt;=$B21,S$1&lt;=$C21),"█",""))</f>
        <v/>
      </c>
    </row>
    <row r="24">
      <c r="A24" s="15" t="inlineStr">
        <is>
          <t>说明：蓝色「█」表示该任务在对应日期处于计划区间内；与「任务明细」开始/截止日期保持一致。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AI_FACTORY_OS Content Factory (deterministic)</dc:creator>
  <dc:title xmlns:dc="http://purl.org/dc/elements/1.1/">【Excel模板】小微团队项目计划 + 任务进度 + 甘特图 Excel 模板 — 专业数字资料包</dc:title>
  <dcterms:created xmlns:dcterms="http://purl.org/dc/terms/" xmlns:xsi="http://www.w3.org/2001/XMLSchema-instance" xsi:type="dcterms:W3CDTF">2026-09-05T01:31:33Z</dcterms:created>
  <dcterms:modified xmlns:dcterms="http://purl.org/dc/terms/" xmlns:xsi="http://www.w3.org/2001/XMLSchema-instance" xsi:type="dcterms:W3CDTF">2026-09-05T01:31:33Z</dcterms:modified>
</cp:coreProperties>
</file>